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isertationWork\Other\"/>
    </mc:Choice>
  </mc:AlternateContent>
  <xr:revisionPtr revIDLastSave="0" documentId="13_ncr:1_{5DF5A772-0ED2-45D5-BB20-C97764551259}" xr6:coauthVersionLast="47" xr6:coauthVersionMax="47" xr10:uidLastSave="{00000000-0000-0000-0000-000000000000}"/>
  <bookViews>
    <workbookView xWindow="28680" yWindow="-120" windowWidth="29040" windowHeight="15720" xr2:uid="{F69A984C-CCA6-4246-82C5-767B2FF15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3" i="1" l="1"/>
  <c r="W33" i="1"/>
  <c r="X33" i="1"/>
  <c r="Y33" i="1"/>
  <c r="Z33" i="1"/>
  <c r="AA33" i="1"/>
  <c r="AB33" i="1"/>
  <c r="AC33" i="1"/>
  <c r="L33" i="1"/>
  <c r="M33" i="1"/>
  <c r="N33" i="1"/>
  <c r="O33" i="1"/>
  <c r="P33" i="1"/>
  <c r="Q33" i="1"/>
  <c r="R33" i="1"/>
  <c r="S33" i="1"/>
  <c r="B33" i="1"/>
  <c r="C33" i="1"/>
  <c r="D33" i="1"/>
  <c r="E33" i="1"/>
  <c r="F33" i="1"/>
  <c r="G33" i="1"/>
  <c r="H33" i="1"/>
  <c r="I33" i="1"/>
  <c r="F55" i="1"/>
  <c r="U16" i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K16" i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B38" i="1"/>
  <c r="B39" i="1" s="1"/>
  <c r="B40" i="1" s="1"/>
  <c r="B41" i="1" s="1"/>
  <c r="B42" i="1" s="1"/>
  <c r="B43" i="1" l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</calcChain>
</file>

<file path=xl/sharedStrings.xml><?xml version="1.0" encoding="utf-8"?>
<sst xmlns="http://schemas.openxmlformats.org/spreadsheetml/2006/main" count="97" uniqueCount="31">
  <si>
    <t>None</t>
  </si>
  <si>
    <t>Sampled</t>
  </si>
  <si>
    <t>Music</t>
  </si>
  <si>
    <t>Test Number</t>
  </si>
  <si>
    <t>#</t>
  </si>
  <si>
    <t>None Sound Test</t>
  </si>
  <si>
    <t>Score</t>
  </si>
  <si>
    <t>Total Shots</t>
  </si>
  <si>
    <t>Max Headshots in a Row</t>
  </si>
  <si>
    <t>Headshot (%)</t>
  </si>
  <si>
    <t>Accuracy (%)</t>
  </si>
  <si>
    <t>Sampled Sound Test</t>
  </si>
  <si>
    <t>Music Sound Test</t>
  </si>
  <si>
    <t>Time</t>
  </si>
  <si>
    <t>Time (Seconds)</t>
  </si>
  <si>
    <t>Rating(1-100)</t>
  </si>
  <si>
    <t>Immersion Rating</t>
  </si>
  <si>
    <t>Sensitivity</t>
  </si>
  <si>
    <t>Score 2</t>
  </si>
  <si>
    <t>Score 1</t>
  </si>
  <si>
    <t xml:space="preserve"> </t>
  </si>
  <si>
    <t>I prefered the feedback from the middle one, it felt more fun and engaging, I knew what was going on and could lock in a lot more than with no sound</t>
  </si>
  <si>
    <t xml:space="preserve">I found the music fun but could sense it took me out of the game a little bit due to the "fantasy feel", but could see it working in other settings more. </t>
  </si>
  <si>
    <t xml:space="preserve">For me personally I think the 1st Test(Sampled) felt very long because I couldn’t fully expect it all. </t>
  </si>
  <si>
    <t xml:space="preserve">Found the music satisfying, Helped feel immersed. </t>
  </si>
  <si>
    <t>Sometime concentrate more no sound, mainly because its not a full game with movement. Music felt better than sampled, felt progressive and rewarding.</t>
  </si>
  <si>
    <t xml:space="preserve">Loves aim trainers but this type - hence the low ratings. Felt distraced on last test after knowing that I was going to ask them about time. </t>
  </si>
  <si>
    <t xml:space="preserve">Like the musical shots. </t>
  </si>
  <si>
    <t>The headshot is satisfying in sound and the music is exciting</t>
  </si>
  <si>
    <t>I think I did better on the none sound (Later stated most likely sue to no feedback</t>
  </si>
  <si>
    <t xml:space="preserve">I liked both the music one and none music, but could concentrate slightly more without it, feeling more enjoyable with just normal sounds.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</si>
</sst>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2" fillId="0" borderId="0" xfId="0" applyFont="1"/>
    <xf numFmtId="0" fontId="3" fillId="3" borderId="0" xfId="2"/>
    <xf numFmtId="3" fontId="0" fillId="0" borderId="0" xfId="0" applyNumberFormat="1"/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D15333-C67E-40DC-AC5A-B9316DF0BF18}" name="Table2" displayName="Table2" ref="A14:I33" totalsRowCount="1">
  <autoFilter ref="A14:I32" xr:uid="{D0D15333-C67E-40DC-AC5A-B9316DF0BF18}"/>
  <tableColumns count="9">
    <tableColumn id="1" xr3:uid="{C2071BA2-A7DC-42D4-98FA-F92AB6099EAF}" name="#">
      <calculatedColumnFormula>A14+1</calculatedColumnFormula>
    </tableColumn>
    <tableColumn id="2" xr3:uid="{FC3CEE07-0ADF-4211-A4E2-7FB53197A7BE}" name="Score 1" totalsRowFunction="custom">
      <totalsRowFormula>AVERAGE(B15:B32)</totalsRowFormula>
    </tableColumn>
    <tableColumn id="3" xr3:uid="{5A3DD35F-CF6B-441E-B2B9-79AD42013981}" name="Total Shots" totalsRowFunction="custom">
      <totalsRowFormula>AVERAGE(C15:C32)</totalsRowFormula>
    </tableColumn>
    <tableColumn id="4" xr3:uid="{1409ED81-94DC-4733-82F2-6CF126CC1CA0}" name="Accuracy (%)" totalsRowFunction="custom">
      <totalsRowFormula>AVERAGE(D15:D32)</totalsRowFormula>
    </tableColumn>
    <tableColumn id="5" xr3:uid="{D51B61C7-E976-458D-A6CB-5B9CE213BE17}" name="Headshot (%)" totalsRowFunction="custom">
      <totalsRowFormula>AVERAGE(E15:E32)</totalsRowFormula>
    </tableColumn>
    <tableColumn id="6" xr3:uid="{AC663478-E2E7-45E7-8191-83A43E4EB776}" name="Max Headshots in a Row" totalsRowFunction="custom">
      <totalsRowFormula>AVERAGE(F15:F32)</totalsRowFormula>
    </tableColumn>
    <tableColumn id="7" xr3:uid="{2CE36111-4B5E-46EA-A7BA-B1AB56B38BBE}" name="Time (Seconds)" totalsRowFunction="custom">
      <totalsRowFormula>AVERAGE(G15:G32)</totalsRowFormula>
    </tableColumn>
    <tableColumn id="8" xr3:uid="{6FAED585-454C-43E9-BFC4-C4F43B8C0EF8}" name="Rating(1-100)" totalsRowFunction="custom">
      <totalsRowFormula>AVERAGE(H15:H32)</totalsRowFormula>
    </tableColumn>
    <tableColumn id="9" xr3:uid="{AD51AF64-3555-4134-A1DA-DFDC71A1E8E1}" name="Immersion Rating" totalsRowFunction="custom">
      <totalsRowFormula>AVERAGE(I15:I32)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7FC0ED-52DB-43A2-8404-294B98E570CF}" name="Table3" displayName="Table3" ref="K14:S33" totalsRowCount="1">
  <autoFilter ref="K14:S32" xr:uid="{A27FC0ED-52DB-43A2-8404-294B98E570CF}"/>
  <tableColumns count="9">
    <tableColumn id="1" xr3:uid="{99D86865-B3E6-4F73-ABA4-5B9A11D75E4E}" name="#">
      <calculatedColumnFormula>K14+1</calculatedColumnFormula>
    </tableColumn>
    <tableColumn id="2" xr3:uid="{9AB45042-C311-412A-950D-0BED23C880B4}" name="Score 2" totalsRowFunction="custom">
      <totalsRowFormula>AVERAGE(L15:L32)</totalsRowFormula>
    </tableColumn>
    <tableColumn id="3" xr3:uid="{5467434A-5DAB-4E77-8116-1535D5C3CF2B}" name="Total Shots" totalsRowFunction="custom">
      <totalsRowFormula>AVERAGE(M15:M32)</totalsRowFormula>
    </tableColumn>
    <tableColumn id="4" xr3:uid="{D2D8B880-39B0-40F7-9024-E66F7F3A18E7}" name="Accuracy (%)" totalsRowFunction="custom">
      <totalsRowFormula>AVERAGE(N15:N32)</totalsRowFormula>
    </tableColumn>
    <tableColumn id="5" xr3:uid="{F88034F4-4A68-4CCB-ACF2-E74EBE57D252}" name="Headshot (%)" totalsRowFunction="custom">
      <totalsRowFormula>AVERAGE(O15:O32)</totalsRowFormula>
    </tableColumn>
    <tableColumn id="6" xr3:uid="{2355B998-708B-4F48-9F00-82942B24FCBD}" name="Max Headshots in a Row" totalsRowFunction="custom">
      <totalsRowFormula>AVERAGE(P15:P32)</totalsRowFormula>
    </tableColumn>
    <tableColumn id="7" xr3:uid="{9D68008E-0650-4C44-A20F-3B6C0CA43D5E}" name="Time" totalsRowFunction="custom">
      <totalsRowFormula>AVERAGE(Q15:Q32)</totalsRowFormula>
    </tableColumn>
    <tableColumn id="8" xr3:uid="{A8DE6DD2-1EC5-41F2-BD51-57FA6F90E1AB}" name="Rating(1-100)" totalsRowFunction="custom">
      <totalsRowFormula>AVERAGE(R15:R32)</totalsRowFormula>
    </tableColumn>
    <tableColumn id="9" xr3:uid="{F8E6B761-847C-4BA4-9F0A-784508357F43}" name="Immersion Rating" totalsRowFunction="custom">
      <totalsRowFormula>AVERAGE(S15:S32)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229619-43A8-4E4B-B48A-649A048C8BDD}" name="Table4" displayName="Table4" ref="U14:AC33" totalsRowCount="1">
  <autoFilter ref="U14:AC32" xr:uid="{D8229619-43A8-4E4B-B48A-649A048C8BDD}"/>
  <tableColumns count="9">
    <tableColumn id="1" xr3:uid="{EFBCC0BE-21CA-4481-9CAE-9FCA4803AC28}" name="#"/>
    <tableColumn id="2" xr3:uid="{71BEEF65-25BC-4AEB-AAAA-7B56D28CBE35}" name="Score" totalsRowFunction="custom">
      <totalsRowFormula>AVERAGE(V15:V32)</totalsRowFormula>
    </tableColumn>
    <tableColumn id="3" xr3:uid="{1960905F-50C6-4FA9-AABD-7D53810163E7}" name="Total Shots" totalsRowFunction="custom">
      <totalsRowFormula>AVERAGE(W15:W32)</totalsRowFormula>
    </tableColumn>
    <tableColumn id="4" xr3:uid="{793FDAFD-975D-48EF-BD37-5421EBEBF7EE}" name="Accuracy (%)" totalsRowFunction="custom">
      <totalsRowFormula>AVERAGE(X15:X32)</totalsRowFormula>
    </tableColumn>
    <tableColumn id="5" xr3:uid="{7ACF717A-3F03-45F7-BC43-F423C666EFD3}" name="Headshot (%)" totalsRowFunction="custom">
      <totalsRowFormula>AVERAGE(Y15:Y32)</totalsRowFormula>
    </tableColumn>
    <tableColumn id="6" xr3:uid="{9DC2C051-99C5-4C61-AFCE-768DD3C324C8}" name="Max Headshots in a Row" totalsRowFunction="custom">
      <totalsRowFormula>AVERAGE(Z15:Z32)</totalsRowFormula>
    </tableColumn>
    <tableColumn id="7" xr3:uid="{AADE03A1-DEB1-4B59-9C1B-2AD5B4A787C5}" name="Time" totalsRowFunction="custom">
      <totalsRowFormula>AVERAGE(AA15:AA32)</totalsRowFormula>
    </tableColumn>
    <tableColumn id="8" xr3:uid="{BB1525E6-A6CB-48FC-A0C3-672059DE7253}" name="Rating(1-100)" totalsRowFunction="custom">
      <totalsRowFormula>AVERAGE(AB15:AB32)</totalsRowFormula>
    </tableColumn>
    <tableColumn id="9" xr3:uid="{CB4FBB8B-FC36-426B-A500-6E01C1B68297}" name="Immersion Rating" totalsRowFunction="custom">
      <totalsRowFormula>AVERAGE(AC15:AC32)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0422-255B-404C-AE6B-B5A828AC21C0}">
  <dimension ref="A13:AD55"/>
  <sheetViews>
    <sheetView tabSelected="1" topLeftCell="J13" zoomScale="70" zoomScaleNormal="70" workbookViewId="0">
      <selection activeCell="AM39" sqref="AM39"/>
    </sheetView>
  </sheetViews>
  <sheetFormatPr defaultRowHeight="15" x14ac:dyDescent="0.25"/>
  <cols>
    <col min="2" max="2" width="21.42578125" customWidth="1"/>
    <col min="3" max="3" width="17.5703125" customWidth="1"/>
    <col min="4" max="4" width="17.42578125" customWidth="1"/>
    <col min="5" max="5" width="16.5703125" customWidth="1"/>
    <col min="6" max="6" width="24.7109375" customWidth="1"/>
    <col min="7" max="7" width="17.140625" customWidth="1"/>
    <col min="8" max="8" width="15" customWidth="1"/>
    <col min="9" max="9" width="35.5703125" customWidth="1"/>
    <col min="22" max="22" width="10.42578125" customWidth="1"/>
  </cols>
  <sheetData>
    <row r="13" spans="1:29" ht="36" x14ac:dyDescent="0.55000000000000004">
      <c r="A13" s="2" t="s">
        <v>5</v>
      </c>
      <c r="K13" s="2" t="s">
        <v>11</v>
      </c>
      <c r="U13" s="2" t="s">
        <v>12</v>
      </c>
    </row>
    <row r="14" spans="1:29" x14ac:dyDescent="0.25">
      <c r="A14" t="s">
        <v>4</v>
      </c>
      <c r="B14" t="s">
        <v>19</v>
      </c>
      <c r="C14" t="s">
        <v>7</v>
      </c>
      <c r="D14" t="s">
        <v>10</v>
      </c>
      <c r="E14" t="s">
        <v>9</v>
      </c>
      <c r="F14" t="s">
        <v>8</v>
      </c>
      <c r="G14" t="s">
        <v>14</v>
      </c>
      <c r="H14" t="s">
        <v>15</v>
      </c>
      <c r="I14" t="s">
        <v>16</v>
      </c>
      <c r="K14" t="s">
        <v>4</v>
      </c>
      <c r="L14" t="s">
        <v>18</v>
      </c>
      <c r="M14" t="s">
        <v>7</v>
      </c>
      <c r="N14" t="s">
        <v>10</v>
      </c>
      <c r="O14" t="s">
        <v>9</v>
      </c>
      <c r="P14" t="s">
        <v>8</v>
      </c>
      <c r="Q14" t="s">
        <v>13</v>
      </c>
      <c r="R14" t="s">
        <v>15</v>
      </c>
      <c r="S14" t="s">
        <v>16</v>
      </c>
      <c r="U14" t="s">
        <v>4</v>
      </c>
      <c r="V14" t="s">
        <v>6</v>
      </c>
      <c r="W14" t="s">
        <v>7</v>
      </c>
      <c r="X14" t="s">
        <v>10</v>
      </c>
      <c r="Y14" t="s">
        <v>9</v>
      </c>
      <c r="Z14" t="s">
        <v>8</v>
      </c>
      <c r="AA14" t="s">
        <v>13</v>
      </c>
      <c r="AB14" t="s">
        <v>15</v>
      </c>
      <c r="AC14" t="s">
        <v>16</v>
      </c>
    </row>
    <row r="15" spans="1:29" x14ac:dyDescent="0.25">
      <c r="A15">
        <v>1</v>
      </c>
      <c r="B15">
        <v>1315</v>
      </c>
      <c r="C15">
        <v>78</v>
      </c>
      <c r="D15">
        <v>88.460999999999999</v>
      </c>
      <c r="E15">
        <v>85.897000000000006</v>
      </c>
      <c r="F15">
        <v>18</v>
      </c>
      <c r="G15">
        <v>90</v>
      </c>
      <c r="H15">
        <v>50</v>
      </c>
      <c r="I15">
        <v>70</v>
      </c>
      <c r="K15">
        <v>1</v>
      </c>
      <c r="L15">
        <v>1385</v>
      </c>
      <c r="M15">
        <v>73</v>
      </c>
      <c r="N15">
        <v>95.89</v>
      </c>
      <c r="O15">
        <v>95.89</v>
      </c>
      <c r="P15">
        <v>31</v>
      </c>
      <c r="Q15">
        <v>50</v>
      </c>
      <c r="R15">
        <v>60</v>
      </c>
      <c r="S15">
        <v>75</v>
      </c>
      <c r="U15">
        <v>1</v>
      </c>
      <c r="V15">
        <v>1550</v>
      </c>
      <c r="W15">
        <v>82</v>
      </c>
      <c r="X15">
        <v>96.340999999999994</v>
      </c>
      <c r="Y15">
        <v>95.120999999999995</v>
      </c>
      <c r="Z15">
        <v>16</v>
      </c>
      <c r="AA15">
        <v>60</v>
      </c>
      <c r="AB15">
        <v>80</v>
      </c>
      <c r="AC15">
        <v>75</v>
      </c>
    </row>
    <row r="16" spans="1:29" x14ac:dyDescent="0.25">
      <c r="A16">
        <f>A15+1</f>
        <v>2</v>
      </c>
      <c r="B16">
        <v>1950</v>
      </c>
      <c r="C16">
        <v>105</v>
      </c>
      <c r="D16">
        <v>94.284999999999997</v>
      </c>
      <c r="E16">
        <v>94.284999999999997</v>
      </c>
      <c r="F16">
        <v>34</v>
      </c>
      <c r="G16">
        <v>50</v>
      </c>
      <c r="H16">
        <v>50</v>
      </c>
      <c r="I16">
        <v>35</v>
      </c>
      <c r="K16">
        <f>K15+1</f>
        <v>2</v>
      </c>
      <c r="L16">
        <v>2200</v>
      </c>
      <c r="M16">
        <v>118</v>
      </c>
      <c r="N16">
        <v>94.915000000000006</v>
      </c>
      <c r="O16">
        <v>94.066999999999993</v>
      </c>
      <c r="P16">
        <v>37</v>
      </c>
      <c r="Q16">
        <v>40</v>
      </c>
      <c r="R16">
        <v>58</v>
      </c>
      <c r="S16">
        <v>50</v>
      </c>
      <c r="U16">
        <f>U15+1</f>
        <v>2</v>
      </c>
      <c r="V16">
        <v>2165</v>
      </c>
      <c r="W16">
        <v>122</v>
      </c>
      <c r="X16">
        <v>90.98</v>
      </c>
      <c r="Y16">
        <v>90.98</v>
      </c>
      <c r="Z16">
        <v>40</v>
      </c>
      <c r="AA16">
        <v>40</v>
      </c>
      <c r="AB16">
        <v>60</v>
      </c>
      <c r="AC16">
        <v>50</v>
      </c>
    </row>
    <row r="17" spans="1:30" x14ac:dyDescent="0.25">
      <c r="A17">
        <f t="shared" ref="A17:A31" si="0">A16+1</f>
        <v>3</v>
      </c>
      <c r="B17">
        <v>1460</v>
      </c>
      <c r="C17">
        <v>77</v>
      </c>
      <c r="D17">
        <v>97.4</v>
      </c>
      <c r="E17">
        <v>93.5</v>
      </c>
      <c r="F17">
        <v>47</v>
      </c>
      <c r="G17">
        <v>45</v>
      </c>
      <c r="H17">
        <v>30</v>
      </c>
      <c r="I17">
        <v>40</v>
      </c>
      <c r="K17">
        <f t="shared" ref="K17:K31" si="1">K16+1</f>
        <v>3</v>
      </c>
      <c r="L17">
        <v>1570</v>
      </c>
      <c r="M17">
        <v>87</v>
      </c>
      <c r="N17">
        <v>95.402000000000001</v>
      </c>
      <c r="O17">
        <v>87.355999999999995</v>
      </c>
      <c r="P17">
        <v>16</v>
      </c>
      <c r="Q17">
        <v>60</v>
      </c>
      <c r="R17">
        <v>55</v>
      </c>
      <c r="S17">
        <v>80</v>
      </c>
      <c r="U17">
        <f t="shared" ref="U17:U31" si="2">U16+1</f>
        <v>3</v>
      </c>
      <c r="V17">
        <v>1520</v>
      </c>
      <c r="W17">
        <v>86</v>
      </c>
      <c r="X17">
        <v>93.022999999999996</v>
      </c>
      <c r="Y17" s="4">
        <v>87.209000000000003</v>
      </c>
      <c r="Z17">
        <v>23</v>
      </c>
      <c r="AA17">
        <v>45</v>
      </c>
      <c r="AB17">
        <v>70</v>
      </c>
      <c r="AC17">
        <v>80</v>
      </c>
    </row>
    <row r="18" spans="1:30" x14ac:dyDescent="0.25">
      <c r="A18">
        <f t="shared" si="0"/>
        <v>4</v>
      </c>
      <c r="B18">
        <v>1945</v>
      </c>
      <c r="C18">
        <v>106</v>
      </c>
      <c r="D18">
        <v>93.396000000000001</v>
      </c>
      <c r="E18">
        <v>93.396000000000001</v>
      </c>
      <c r="F18">
        <v>52</v>
      </c>
      <c r="G18">
        <v>15</v>
      </c>
      <c r="H18">
        <v>20</v>
      </c>
      <c r="I18">
        <v>20</v>
      </c>
      <c r="K18">
        <f t="shared" si="1"/>
        <v>4</v>
      </c>
      <c r="L18">
        <v>1830</v>
      </c>
      <c r="M18">
        <v>99</v>
      </c>
      <c r="N18">
        <v>95.959000000000003</v>
      </c>
      <c r="O18">
        <v>90.909000000000006</v>
      </c>
      <c r="P18">
        <v>37</v>
      </c>
      <c r="Q18">
        <v>30</v>
      </c>
      <c r="R18">
        <v>39</v>
      </c>
      <c r="S18">
        <v>40</v>
      </c>
      <c r="U18">
        <f t="shared" si="2"/>
        <v>4</v>
      </c>
      <c r="V18">
        <v>1910</v>
      </c>
      <c r="W18">
        <v>104</v>
      </c>
      <c r="X18">
        <v>94.23</v>
      </c>
      <c r="Y18">
        <v>92.307000000000002</v>
      </c>
      <c r="Z18">
        <v>27</v>
      </c>
      <c r="AA18">
        <v>20</v>
      </c>
      <c r="AB18">
        <v>60</v>
      </c>
      <c r="AC18">
        <v>55</v>
      </c>
    </row>
    <row r="19" spans="1:30" x14ac:dyDescent="0.25">
      <c r="A19">
        <f t="shared" si="0"/>
        <v>5</v>
      </c>
      <c r="B19">
        <v>1805</v>
      </c>
      <c r="C19">
        <v>118</v>
      </c>
      <c r="D19">
        <v>87.287999999999997</v>
      </c>
      <c r="E19">
        <v>72.033000000000001</v>
      </c>
      <c r="F19">
        <v>16</v>
      </c>
      <c r="G19">
        <v>20</v>
      </c>
      <c r="H19">
        <v>40</v>
      </c>
      <c r="I19" s="1">
        <v>1</v>
      </c>
      <c r="K19">
        <f t="shared" si="1"/>
        <v>5</v>
      </c>
      <c r="L19">
        <v>2050</v>
      </c>
      <c r="M19">
        <v>122</v>
      </c>
      <c r="N19">
        <v>88.524000000000001</v>
      </c>
      <c r="O19">
        <v>88.524000000000001</v>
      </c>
      <c r="P19">
        <v>20</v>
      </c>
      <c r="Q19">
        <v>25</v>
      </c>
      <c r="R19">
        <v>95</v>
      </c>
      <c r="S19">
        <v>95</v>
      </c>
      <c r="U19">
        <f t="shared" si="2"/>
        <v>5</v>
      </c>
      <c r="V19">
        <v>1905</v>
      </c>
      <c r="W19">
        <v>109</v>
      </c>
      <c r="X19">
        <v>89.908000000000001</v>
      </c>
      <c r="Y19">
        <v>89.908000000000001</v>
      </c>
      <c r="Z19">
        <v>30</v>
      </c>
      <c r="AA19">
        <v>30</v>
      </c>
      <c r="AB19">
        <v>80</v>
      </c>
      <c r="AC19">
        <v>90</v>
      </c>
      <c r="AD19" t="s">
        <v>20</v>
      </c>
    </row>
    <row r="20" spans="1:30" x14ac:dyDescent="0.25">
      <c r="A20">
        <f t="shared" si="0"/>
        <v>6</v>
      </c>
      <c r="B20">
        <v>1550</v>
      </c>
      <c r="C20">
        <v>80</v>
      </c>
      <c r="D20">
        <v>97.5</v>
      </c>
      <c r="E20">
        <v>97.5</v>
      </c>
      <c r="F20">
        <v>19</v>
      </c>
      <c r="G20">
        <v>70</v>
      </c>
      <c r="H20">
        <v>40</v>
      </c>
      <c r="I20">
        <v>40</v>
      </c>
      <c r="K20">
        <f t="shared" si="1"/>
        <v>6</v>
      </c>
      <c r="L20">
        <v>1550</v>
      </c>
      <c r="M20">
        <v>83</v>
      </c>
      <c r="N20">
        <v>95.18</v>
      </c>
      <c r="O20">
        <v>93.97</v>
      </c>
      <c r="P20">
        <v>30</v>
      </c>
      <c r="Q20">
        <v>60</v>
      </c>
      <c r="R20">
        <v>70</v>
      </c>
      <c r="S20">
        <v>85</v>
      </c>
      <c r="U20">
        <f t="shared" si="2"/>
        <v>6</v>
      </c>
      <c r="V20">
        <v>1570</v>
      </c>
      <c r="W20">
        <v>81</v>
      </c>
      <c r="X20">
        <v>97.53</v>
      </c>
      <c r="Y20">
        <v>97.53</v>
      </c>
      <c r="Z20">
        <v>34</v>
      </c>
      <c r="AA20">
        <v>90</v>
      </c>
      <c r="AB20">
        <v>65</v>
      </c>
      <c r="AC20">
        <v>80</v>
      </c>
      <c r="AD20" t="s">
        <v>21</v>
      </c>
    </row>
    <row r="21" spans="1:30" x14ac:dyDescent="0.25">
      <c r="A21">
        <f t="shared" si="0"/>
        <v>7</v>
      </c>
      <c r="B21">
        <v>1645</v>
      </c>
      <c r="C21">
        <v>86</v>
      </c>
      <c r="D21">
        <v>96.510999999999996</v>
      </c>
      <c r="E21">
        <v>96.510999999999996</v>
      </c>
      <c r="F21">
        <v>40</v>
      </c>
      <c r="G21">
        <v>30</v>
      </c>
      <c r="H21">
        <v>80</v>
      </c>
      <c r="I21">
        <v>85</v>
      </c>
      <c r="K21">
        <f t="shared" si="1"/>
        <v>7</v>
      </c>
      <c r="L21">
        <v>1940</v>
      </c>
      <c r="M21">
        <v>102</v>
      </c>
      <c r="N21">
        <v>96.078000000000003</v>
      </c>
      <c r="O21">
        <v>96.078000000000003</v>
      </c>
      <c r="P21">
        <v>41</v>
      </c>
      <c r="Q21">
        <v>45</v>
      </c>
      <c r="R21">
        <v>85</v>
      </c>
      <c r="S21">
        <v>90</v>
      </c>
      <c r="U21">
        <f t="shared" si="2"/>
        <v>7</v>
      </c>
      <c r="V21">
        <v>2015</v>
      </c>
      <c r="W21">
        <v>112</v>
      </c>
      <c r="X21">
        <v>91.963999999999999</v>
      </c>
      <c r="Y21">
        <v>91.963999999999999</v>
      </c>
      <c r="Z21">
        <v>38</v>
      </c>
      <c r="AA21">
        <v>30</v>
      </c>
      <c r="AB21">
        <v>90</v>
      </c>
      <c r="AC21">
        <v>85</v>
      </c>
      <c r="AD21" t="s">
        <v>22</v>
      </c>
    </row>
    <row r="22" spans="1:30" x14ac:dyDescent="0.25">
      <c r="A22">
        <f t="shared" si="0"/>
        <v>8</v>
      </c>
      <c r="B22">
        <v>1835</v>
      </c>
      <c r="C22">
        <v>118</v>
      </c>
      <c r="D22">
        <v>82.203000000000003</v>
      </c>
      <c r="E22">
        <v>82.203000000000003</v>
      </c>
      <c r="F22">
        <v>13</v>
      </c>
      <c r="G22">
        <v>45</v>
      </c>
      <c r="H22">
        <v>60</v>
      </c>
      <c r="I22">
        <v>20</v>
      </c>
      <c r="K22">
        <f t="shared" si="1"/>
        <v>8</v>
      </c>
      <c r="L22">
        <v>2065</v>
      </c>
      <c r="M22">
        <v>130</v>
      </c>
      <c r="N22">
        <v>83.846000000000004</v>
      </c>
      <c r="O22">
        <v>83.075999999999993</v>
      </c>
      <c r="P22">
        <v>14</v>
      </c>
      <c r="Q22">
        <v>30</v>
      </c>
      <c r="R22">
        <v>70</v>
      </c>
      <c r="S22">
        <v>50</v>
      </c>
      <c r="U22">
        <f t="shared" si="2"/>
        <v>8</v>
      </c>
      <c r="V22">
        <v>1985</v>
      </c>
      <c r="W22">
        <v>118</v>
      </c>
      <c r="X22">
        <v>87.287999999999997</v>
      </c>
      <c r="Y22">
        <v>87.287999999999997</v>
      </c>
      <c r="Z22">
        <v>31</v>
      </c>
      <c r="AA22">
        <v>30</v>
      </c>
      <c r="AB22">
        <v>75</v>
      </c>
      <c r="AC22">
        <v>40</v>
      </c>
    </row>
    <row r="23" spans="1:30" x14ac:dyDescent="0.25">
      <c r="A23">
        <f t="shared" si="0"/>
        <v>9</v>
      </c>
      <c r="B23">
        <v>1745</v>
      </c>
      <c r="C23">
        <v>89</v>
      </c>
      <c r="D23">
        <v>98.876000000000005</v>
      </c>
      <c r="E23">
        <v>87.572000000000003</v>
      </c>
      <c r="F23">
        <v>75</v>
      </c>
      <c r="G23">
        <v>30</v>
      </c>
      <c r="H23">
        <v>60</v>
      </c>
      <c r="I23">
        <v>55</v>
      </c>
      <c r="K23">
        <f t="shared" si="1"/>
        <v>9</v>
      </c>
      <c r="L23">
        <v>1650</v>
      </c>
      <c r="M23">
        <v>88</v>
      </c>
      <c r="N23">
        <v>97.727000000000004</v>
      </c>
      <c r="O23">
        <v>90.909000000000006</v>
      </c>
      <c r="P23">
        <v>15</v>
      </c>
      <c r="Q23">
        <v>70</v>
      </c>
      <c r="R23">
        <v>75</v>
      </c>
      <c r="S23">
        <v>75</v>
      </c>
      <c r="U23">
        <f t="shared" si="2"/>
        <v>9</v>
      </c>
      <c r="V23">
        <v>1785</v>
      </c>
      <c r="W23">
        <v>94</v>
      </c>
      <c r="X23">
        <v>96.808000000000007</v>
      </c>
      <c r="Y23">
        <v>96.808000000000007</v>
      </c>
      <c r="Z23">
        <v>38</v>
      </c>
      <c r="AA23">
        <v>50</v>
      </c>
      <c r="AB23">
        <v>65</v>
      </c>
      <c r="AC23">
        <v>65</v>
      </c>
    </row>
    <row r="24" spans="1:30" x14ac:dyDescent="0.25">
      <c r="A24">
        <f t="shared" si="0"/>
        <v>10</v>
      </c>
      <c r="B24">
        <v>1760</v>
      </c>
      <c r="C24">
        <v>98</v>
      </c>
      <c r="D24">
        <v>91.835999999999999</v>
      </c>
      <c r="E24">
        <v>91.835999999999999</v>
      </c>
      <c r="F24">
        <v>25</v>
      </c>
      <c r="G24">
        <v>60</v>
      </c>
      <c r="H24">
        <v>80</v>
      </c>
      <c r="I24">
        <v>95</v>
      </c>
      <c r="K24">
        <f t="shared" si="1"/>
        <v>10</v>
      </c>
      <c r="L24">
        <v>1460</v>
      </c>
      <c r="M24">
        <v>95</v>
      </c>
      <c r="N24">
        <v>85.263000000000005</v>
      </c>
      <c r="O24">
        <v>75.789000000000001</v>
      </c>
      <c r="P24">
        <v>20</v>
      </c>
      <c r="Q24">
        <v>120</v>
      </c>
      <c r="R24">
        <v>70</v>
      </c>
      <c r="S24">
        <v>90</v>
      </c>
      <c r="U24">
        <f t="shared" si="2"/>
        <v>10</v>
      </c>
      <c r="V24">
        <v>1685</v>
      </c>
      <c r="W24">
        <v>104</v>
      </c>
      <c r="X24">
        <v>85.575999999999993</v>
      </c>
      <c r="Y24">
        <v>83.653000000000006</v>
      </c>
      <c r="Z24">
        <v>25</v>
      </c>
      <c r="AA24">
        <v>60</v>
      </c>
      <c r="AB24">
        <v>70</v>
      </c>
      <c r="AC24">
        <v>80</v>
      </c>
      <c r="AD24" t="s">
        <v>23</v>
      </c>
    </row>
    <row r="25" spans="1:30" x14ac:dyDescent="0.25">
      <c r="A25">
        <f t="shared" si="0"/>
        <v>11</v>
      </c>
      <c r="B25">
        <v>1600</v>
      </c>
      <c r="C25">
        <v>80</v>
      </c>
      <c r="D25">
        <v>100</v>
      </c>
      <c r="E25">
        <v>100</v>
      </c>
      <c r="F25">
        <v>80</v>
      </c>
      <c r="G25">
        <v>30</v>
      </c>
      <c r="H25">
        <v>22</v>
      </c>
      <c r="I25">
        <v>30</v>
      </c>
      <c r="K25">
        <f t="shared" si="1"/>
        <v>11</v>
      </c>
      <c r="L25">
        <v>1735</v>
      </c>
      <c r="M25">
        <v>88</v>
      </c>
      <c r="N25">
        <v>98.863</v>
      </c>
      <c r="O25">
        <v>98.863</v>
      </c>
      <c r="P25">
        <v>84</v>
      </c>
      <c r="Q25">
        <v>30</v>
      </c>
      <c r="R25">
        <v>30</v>
      </c>
      <c r="S25">
        <v>45</v>
      </c>
      <c r="U25">
        <f t="shared" si="2"/>
        <v>11</v>
      </c>
      <c r="V25">
        <v>1665</v>
      </c>
      <c r="W25">
        <v>87</v>
      </c>
      <c r="X25">
        <v>96.551000000000002</v>
      </c>
      <c r="Y25">
        <v>96.551000000000002</v>
      </c>
      <c r="Z25">
        <v>49</v>
      </c>
      <c r="AA25">
        <v>40</v>
      </c>
      <c r="AB25">
        <v>45</v>
      </c>
      <c r="AC25">
        <v>80</v>
      </c>
      <c r="AD25" t="s">
        <v>24</v>
      </c>
    </row>
    <row r="26" spans="1:30" x14ac:dyDescent="0.25">
      <c r="A26">
        <f t="shared" si="0"/>
        <v>12</v>
      </c>
      <c r="B26">
        <v>1600</v>
      </c>
      <c r="C26">
        <v>90</v>
      </c>
      <c r="D26">
        <v>91.111000000000004</v>
      </c>
      <c r="E26">
        <v>91.111000000000004</v>
      </c>
      <c r="F26">
        <v>29</v>
      </c>
      <c r="G26">
        <v>25</v>
      </c>
      <c r="H26">
        <v>50</v>
      </c>
      <c r="I26">
        <v>60</v>
      </c>
      <c r="K26">
        <f t="shared" si="1"/>
        <v>12</v>
      </c>
      <c r="L26">
        <v>1450</v>
      </c>
      <c r="M26">
        <v>78</v>
      </c>
      <c r="N26">
        <v>94.870999999999995</v>
      </c>
      <c r="O26">
        <v>93.588999999999999</v>
      </c>
      <c r="P26">
        <v>15</v>
      </c>
      <c r="Q26">
        <v>20</v>
      </c>
      <c r="R26">
        <v>60</v>
      </c>
      <c r="S26">
        <v>60</v>
      </c>
      <c r="U26">
        <f t="shared" si="2"/>
        <v>12</v>
      </c>
      <c r="V26">
        <v>1500</v>
      </c>
      <c r="W26">
        <v>88</v>
      </c>
      <c r="X26">
        <v>88.635999999999996</v>
      </c>
      <c r="Y26">
        <v>87.5</v>
      </c>
      <c r="Z26">
        <v>19</v>
      </c>
      <c r="AA26">
        <v>30</v>
      </c>
      <c r="AB26">
        <v>70</v>
      </c>
      <c r="AC26">
        <v>80</v>
      </c>
    </row>
    <row r="27" spans="1:30" x14ac:dyDescent="0.25">
      <c r="A27">
        <f t="shared" si="0"/>
        <v>13</v>
      </c>
      <c r="B27">
        <v>1495</v>
      </c>
      <c r="C27">
        <v>76</v>
      </c>
      <c r="D27">
        <v>98.683999999999997</v>
      </c>
      <c r="E27">
        <v>98.683999999999997</v>
      </c>
      <c r="F27">
        <v>56</v>
      </c>
      <c r="G27">
        <v>120</v>
      </c>
      <c r="H27">
        <v>25</v>
      </c>
      <c r="I27">
        <v>55</v>
      </c>
      <c r="K27">
        <f t="shared" si="1"/>
        <v>13</v>
      </c>
      <c r="L27">
        <v>1360</v>
      </c>
      <c r="M27">
        <v>73</v>
      </c>
      <c r="N27">
        <v>94.52</v>
      </c>
      <c r="O27">
        <v>94.52</v>
      </c>
      <c r="P27">
        <v>32</v>
      </c>
      <c r="Q27">
        <v>60</v>
      </c>
      <c r="R27">
        <v>25</v>
      </c>
      <c r="S27">
        <v>50</v>
      </c>
      <c r="U27">
        <f t="shared" si="2"/>
        <v>13</v>
      </c>
      <c r="V27">
        <v>1775</v>
      </c>
      <c r="W27">
        <v>95</v>
      </c>
      <c r="X27">
        <v>94.736000000000004</v>
      </c>
      <c r="Y27">
        <v>94.376000000000005</v>
      </c>
      <c r="Z27">
        <v>30</v>
      </c>
      <c r="AA27">
        <v>60</v>
      </c>
      <c r="AB27">
        <v>35</v>
      </c>
      <c r="AC27">
        <v>55</v>
      </c>
      <c r="AD27" t="s">
        <v>25</v>
      </c>
    </row>
    <row r="28" spans="1:30" x14ac:dyDescent="0.25">
      <c r="A28">
        <f t="shared" si="0"/>
        <v>14</v>
      </c>
      <c r="B28">
        <v>2265</v>
      </c>
      <c r="C28">
        <v>122</v>
      </c>
      <c r="D28">
        <v>94.262</v>
      </c>
      <c r="E28">
        <v>94.262</v>
      </c>
      <c r="F28">
        <v>26</v>
      </c>
      <c r="G28">
        <v>90</v>
      </c>
      <c r="H28">
        <v>6</v>
      </c>
      <c r="I28">
        <v>100</v>
      </c>
      <c r="K28">
        <f t="shared" si="1"/>
        <v>14</v>
      </c>
      <c r="L28">
        <v>2365</v>
      </c>
      <c r="M28">
        <v>132</v>
      </c>
      <c r="N28">
        <v>91.665999999999997</v>
      </c>
      <c r="O28">
        <v>91.665999999999997</v>
      </c>
      <c r="P28">
        <v>26</v>
      </c>
      <c r="Q28">
        <v>60</v>
      </c>
      <c r="R28">
        <v>5</v>
      </c>
      <c r="S28">
        <v>70</v>
      </c>
      <c r="U28">
        <f t="shared" si="2"/>
        <v>14</v>
      </c>
      <c r="V28">
        <v>2165</v>
      </c>
      <c r="W28">
        <v>127</v>
      </c>
      <c r="X28">
        <v>88.188000000000002</v>
      </c>
      <c r="Y28">
        <v>88.188000000000002</v>
      </c>
      <c r="Z28">
        <v>31</v>
      </c>
      <c r="AA28">
        <v>60</v>
      </c>
      <c r="AB28">
        <v>5</v>
      </c>
      <c r="AC28">
        <v>80</v>
      </c>
      <c r="AD28" t="s">
        <v>26</v>
      </c>
    </row>
    <row r="29" spans="1:30" x14ac:dyDescent="0.25">
      <c r="A29">
        <f t="shared" si="0"/>
        <v>15</v>
      </c>
      <c r="B29">
        <v>1700</v>
      </c>
      <c r="C29">
        <v>118</v>
      </c>
      <c r="D29">
        <v>77.965999999999994</v>
      </c>
      <c r="E29">
        <v>77.117999999999995</v>
      </c>
      <c r="F29">
        <v>9</v>
      </c>
      <c r="G29">
        <v>60</v>
      </c>
      <c r="H29">
        <v>50</v>
      </c>
      <c r="I29">
        <v>46</v>
      </c>
      <c r="K29">
        <f t="shared" si="1"/>
        <v>15</v>
      </c>
      <c r="L29">
        <v>1395</v>
      </c>
      <c r="M29">
        <v>89</v>
      </c>
      <c r="N29">
        <v>83.146000000000001</v>
      </c>
      <c r="O29">
        <v>82.022000000000006</v>
      </c>
      <c r="P29">
        <v>10</v>
      </c>
      <c r="Q29">
        <v>45</v>
      </c>
      <c r="R29">
        <v>68</v>
      </c>
      <c r="S29">
        <v>75</v>
      </c>
      <c r="U29">
        <f t="shared" si="2"/>
        <v>15</v>
      </c>
      <c r="V29">
        <v>1750</v>
      </c>
      <c r="W29">
        <v>113</v>
      </c>
      <c r="X29">
        <v>82.3</v>
      </c>
      <c r="Y29">
        <v>81.415000000000006</v>
      </c>
      <c r="Z29">
        <v>21</v>
      </c>
      <c r="AA29">
        <v>55</v>
      </c>
      <c r="AB29">
        <v>74</v>
      </c>
      <c r="AC29">
        <v>75</v>
      </c>
      <c r="AD29" t="s">
        <v>27</v>
      </c>
    </row>
    <row r="30" spans="1:30" x14ac:dyDescent="0.25">
      <c r="A30">
        <f t="shared" si="0"/>
        <v>16</v>
      </c>
      <c r="B30">
        <v>1420</v>
      </c>
      <c r="C30">
        <v>71</v>
      </c>
      <c r="D30">
        <v>100</v>
      </c>
      <c r="E30">
        <v>100</v>
      </c>
      <c r="F30">
        <v>71</v>
      </c>
      <c r="G30">
        <v>80</v>
      </c>
      <c r="H30">
        <v>55</v>
      </c>
      <c r="I30">
        <v>30</v>
      </c>
      <c r="K30">
        <f t="shared" si="1"/>
        <v>16</v>
      </c>
      <c r="L30">
        <v>1355</v>
      </c>
      <c r="M30">
        <v>69</v>
      </c>
      <c r="N30">
        <v>98.55</v>
      </c>
      <c r="O30">
        <v>98.55</v>
      </c>
      <c r="P30" s="1">
        <v>2</v>
      </c>
      <c r="Q30">
        <v>30</v>
      </c>
      <c r="R30">
        <v>70</v>
      </c>
      <c r="S30">
        <v>50</v>
      </c>
      <c r="U30">
        <f t="shared" si="2"/>
        <v>16</v>
      </c>
      <c r="V30">
        <v>1520</v>
      </c>
      <c r="W30">
        <v>76</v>
      </c>
      <c r="X30">
        <v>100</v>
      </c>
      <c r="Y30">
        <v>100</v>
      </c>
      <c r="Z30" s="1">
        <v>0</v>
      </c>
      <c r="AA30">
        <v>60</v>
      </c>
      <c r="AB30">
        <v>75</v>
      </c>
      <c r="AC30">
        <v>50</v>
      </c>
      <c r="AD30" t="s">
        <v>28</v>
      </c>
    </row>
    <row r="31" spans="1:30" x14ac:dyDescent="0.25">
      <c r="A31">
        <f t="shared" si="0"/>
        <v>17</v>
      </c>
      <c r="B31">
        <v>1470</v>
      </c>
      <c r="C31">
        <v>76</v>
      </c>
      <c r="D31">
        <v>97.367999999999995</v>
      </c>
      <c r="E31">
        <v>97.367999999999995</v>
      </c>
      <c r="F31">
        <v>57</v>
      </c>
      <c r="G31">
        <v>30</v>
      </c>
      <c r="H31">
        <v>50</v>
      </c>
      <c r="I31">
        <v>90</v>
      </c>
      <c r="K31">
        <f t="shared" si="1"/>
        <v>17</v>
      </c>
      <c r="L31">
        <v>1515</v>
      </c>
      <c r="M31">
        <v>77</v>
      </c>
      <c r="N31">
        <v>98.700999999999993</v>
      </c>
      <c r="O31">
        <v>98.700999999999993</v>
      </c>
      <c r="P31">
        <v>46</v>
      </c>
      <c r="Q31">
        <v>40</v>
      </c>
      <c r="R31">
        <v>80</v>
      </c>
      <c r="S31">
        <v>95</v>
      </c>
      <c r="U31">
        <f t="shared" si="2"/>
        <v>17</v>
      </c>
      <c r="V31">
        <v>1510</v>
      </c>
      <c r="W31">
        <v>78</v>
      </c>
      <c r="X31">
        <v>97.435000000000002</v>
      </c>
      <c r="Y31">
        <v>97.435000000000002</v>
      </c>
      <c r="Z31">
        <v>48</v>
      </c>
      <c r="AA31">
        <v>45</v>
      </c>
      <c r="AB31">
        <v>70</v>
      </c>
      <c r="AC31">
        <v>95</v>
      </c>
      <c r="AD31" t="s">
        <v>29</v>
      </c>
    </row>
    <row r="32" spans="1:30" x14ac:dyDescent="0.25">
      <c r="A32">
        <f>A31+1</f>
        <v>18</v>
      </c>
      <c r="B32">
        <v>1060</v>
      </c>
      <c r="C32">
        <v>56</v>
      </c>
      <c r="D32">
        <v>96.427999999999997</v>
      </c>
      <c r="E32">
        <v>94.641999999999996</v>
      </c>
      <c r="F32">
        <v>34</v>
      </c>
      <c r="G32">
        <v>15</v>
      </c>
      <c r="H32">
        <v>40</v>
      </c>
      <c r="I32">
        <v>45</v>
      </c>
      <c r="K32">
        <f>K31+1</f>
        <v>18</v>
      </c>
      <c r="L32">
        <v>1355</v>
      </c>
      <c r="M32">
        <v>69</v>
      </c>
      <c r="N32">
        <v>98.55</v>
      </c>
      <c r="O32">
        <v>98.55</v>
      </c>
      <c r="P32">
        <v>64</v>
      </c>
      <c r="Q32">
        <v>20</v>
      </c>
      <c r="R32">
        <v>62</v>
      </c>
      <c r="S32">
        <v>60</v>
      </c>
      <c r="U32">
        <f>U31+1</f>
        <v>18</v>
      </c>
      <c r="V32">
        <v>1350</v>
      </c>
      <c r="W32">
        <v>75</v>
      </c>
      <c r="X32">
        <v>92</v>
      </c>
      <c r="Y32">
        <v>92</v>
      </c>
      <c r="Z32">
        <v>36</v>
      </c>
      <c r="AA32">
        <v>20</v>
      </c>
      <c r="AB32">
        <v>50</v>
      </c>
      <c r="AC32">
        <v>60</v>
      </c>
    </row>
    <row r="33" spans="2:30" x14ac:dyDescent="0.25">
      <c r="B33">
        <f t="shared" ref="B33:I33" si="3">AVERAGE(B15:B32)</f>
        <v>1645.5555555555557</v>
      </c>
      <c r="C33">
        <f t="shared" si="3"/>
        <v>91.333333333333329</v>
      </c>
      <c r="D33">
        <f t="shared" si="3"/>
        <v>93.531944444444434</v>
      </c>
      <c r="E33">
        <f t="shared" si="3"/>
        <v>91.550999999999988</v>
      </c>
      <c r="F33">
        <f t="shared" si="3"/>
        <v>38.944444444444443</v>
      </c>
      <c r="G33">
        <f t="shared" si="3"/>
        <v>50.277777777777779</v>
      </c>
      <c r="H33">
        <f t="shared" si="3"/>
        <v>44.888888888888886</v>
      </c>
      <c r="I33">
        <f t="shared" si="3"/>
        <v>50.944444444444443</v>
      </c>
      <c r="L33">
        <f t="shared" ref="L33:S33" si="4">AVERAGE(L15:L32)</f>
        <v>1679.4444444444443</v>
      </c>
      <c r="M33">
        <f t="shared" si="4"/>
        <v>92.888888888888886</v>
      </c>
      <c r="N33">
        <f t="shared" si="4"/>
        <v>93.758388888888874</v>
      </c>
      <c r="O33">
        <f t="shared" si="4"/>
        <v>91.834944444444432</v>
      </c>
      <c r="P33">
        <f t="shared" si="4"/>
        <v>30</v>
      </c>
      <c r="Q33">
        <f t="shared" si="4"/>
        <v>46.388888888888886</v>
      </c>
      <c r="R33">
        <f t="shared" si="4"/>
        <v>59.833333333333336</v>
      </c>
      <c r="S33">
        <f t="shared" si="4"/>
        <v>68.611111111111114</v>
      </c>
      <c r="V33">
        <f t="shared" ref="V33:AC33" si="5">AVERAGE(V15:V32)</f>
        <v>1740.2777777777778</v>
      </c>
      <c r="W33">
        <f t="shared" si="5"/>
        <v>97.277777777777771</v>
      </c>
      <c r="X33">
        <f t="shared" si="5"/>
        <v>92.416333333333355</v>
      </c>
      <c r="Y33">
        <f t="shared" si="5"/>
        <v>91.679611111111114</v>
      </c>
      <c r="Z33">
        <f t="shared" si="5"/>
        <v>29.777777777777779</v>
      </c>
      <c r="AA33">
        <f t="shared" si="5"/>
        <v>45.833333333333336</v>
      </c>
      <c r="AB33">
        <f t="shared" si="5"/>
        <v>63.277777777777779</v>
      </c>
      <c r="AC33">
        <f t="shared" si="5"/>
        <v>70.833333333333329</v>
      </c>
      <c r="AD33" t="s">
        <v>30</v>
      </c>
    </row>
    <row r="36" spans="2:30" x14ac:dyDescent="0.25">
      <c r="B36" t="s">
        <v>3</v>
      </c>
      <c r="F36" t="s">
        <v>17</v>
      </c>
    </row>
    <row r="37" spans="2:30" x14ac:dyDescent="0.25">
      <c r="B37" s="3">
        <v>1</v>
      </c>
      <c r="C37" s="3" t="s">
        <v>0</v>
      </c>
      <c r="D37" s="3" t="s">
        <v>1</v>
      </c>
      <c r="E37" s="3" t="s">
        <v>2</v>
      </c>
      <c r="F37">
        <v>0.68799999999999994</v>
      </c>
    </row>
    <row r="38" spans="2:30" x14ac:dyDescent="0.25">
      <c r="B38" s="3">
        <f>B37+1</f>
        <v>2</v>
      </c>
      <c r="C38" s="3" t="s">
        <v>0</v>
      </c>
      <c r="D38" s="3" t="s">
        <v>2</v>
      </c>
      <c r="E38" s="3" t="s">
        <v>1</v>
      </c>
      <c r="F38">
        <v>0.374</v>
      </c>
    </row>
    <row r="39" spans="2:30" x14ac:dyDescent="0.25">
      <c r="B39" s="3">
        <f t="shared" ref="B39:B54" si="6">B38+1</f>
        <v>3</v>
      </c>
      <c r="C39" s="3" t="s">
        <v>1</v>
      </c>
      <c r="D39" s="3" t="s">
        <v>0</v>
      </c>
      <c r="E39" s="3" t="s">
        <v>2</v>
      </c>
      <c r="F39">
        <v>0.32800000000000001</v>
      </c>
    </row>
    <row r="40" spans="2:30" x14ac:dyDescent="0.25">
      <c r="B40" s="3">
        <f t="shared" si="6"/>
        <v>4</v>
      </c>
      <c r="C40" s="3" t="s">
        <v>1</v>
      </c>
      <c r="D40" s="3" t="s">
        <v>2</v>
      </c>
      <c r="E40" s="3" t="s">
        <v>0</v>
      </c>
      <c r="F40">
        <v>0.47299999999999998</v>
      </c>
    </row>
    <row r="41" spans="2:30" x14ac:dyDescent="0.25">
      <c r="B41" s="3">
        <f t="shared" si="6"/>
        <v>5</v>
      </c>
      <c r="C41" s="3" t="s">
        <v>2</v>
      </c>
      <c r="D41" s="3" t="s">
        <v>0</v>
      </c>
      <c r="E41" s="3" t="s">
        <v>1</v>
      </c>
      <c r="F41">
        <v>0.56999999999999995</v>
      </c>
    </row>
    <row r="42" spans="2:30" x14ac:dyDescent="0.25">
      <c r="B42" s="3">
        <f>B41+1</f>
        <v>6</v>
      </c>
      <c r="C42" s="3" t="s">
        <v>2</v>
      </c>
      <c r="D42" s="3" t="s">
        <v>1</v>
      </c>
      <c r="E42" s="3" t="s">
        <v>0</v>
      </c>
      <c r="F42">
        <v>0.79600000000000004</v>
      </c>
    </row>
    <row r="43" spans="2:30" x14ac:dyDescent="0.25">
      <c r="B43" s="3">
        <f t="shared" si="6"/>
        <v>7</v>
      </c>
      <c r="C43" s="3" t="s">
        <v>0</v>
      </c>
      <c r="D43" s="3" t="s">
        <v>1</v>
      </c>
      <c r="E43" s="3" t="s">
        <v>2</v>
      </c>
      <c r="F43">
        <v>0.45</v>
      </c>
    </row>
    <row r="44" spans="2:30" x14ac:dyDescent="0.25">
      <c r="B44" s="3">
        <f t="shared" si="6"/>
        <v>8</v>
      </c>
      <c r="C44" s="3" t="s">
        <v>0</v>
      </c>
      <c r="D44" s="3" t="s">
        <v>2</v>
      </c>
      <c r="E44" s="3" t="s">
        <v>1</v>
      </c>
      <c r="F44">
        <v>0.28100000000000003</v>
      </c>
    </row>
    <row r="45" spans="2:30" x14ac:dyDescent="0.25">
      <c r="B45" s="3">
        <f t="shared" si="6"/>
        <v>9</v>
      </c>
      <c r="C45" s="3" t="s">
        <v>1</v>
      </c>
      <c r="D45" s="3" t="s">
        <v>0</v>
      </c>
      <c r="E45" s="3" t="s">
        <v>2</v>
      </c>
      <c r="F45">
        <v>0.54600000000000004</v>
      </c>
    </row>
    <row r="46" spans="2:30" x14ac:dyDescent="0.25">
      <c r="B46" s="3">
        <f t="shared" si="6"/>
        <v>10</v>
      </c>
      <c r="C46" s="3" t="s">
        <v>1</v>
      </c>
      <c r="D46" s="3" t="s">
        <v>2</v>
      </c>
      <c r="E46" s="3" t="s">
        <v>0</v>
      </c>
      <c r="F46">
        <v>0.44500000000000001</v>
      </c>
    </row>
    <row r="47" spans="2:30" x14ac:dyDescent="0.25">
      <c r="B47" s="3">
        <f t="shared" si="6"/>
        <v>11</v>
      </c>
      <c r="C47" s="3" t="s">
        <v>2</v>
      </c>
      <c r="D47" s="3" t="s">
        <v>0</v>
      </c>
      <c r="E47" s="3" t="s">
        <v>1</v>
      </c>
      <c r="F47">
        <v>0.192</v>
      </c>
    </row>
    <row r="48" spans="2:30" x14ac:dyDescent="0.25">
      <c r="B48" s="3">
        <f t="shared" si="6"/>
        <v>12</v>
      </c>
      <c r="C48" s="3" t="s">
        <v>2</v>
      </c>
      <c r="D48" s="3" t="s">
        <v>1</v>
      </c>
      <c r="E48" s="3" t="s">
        <v>0</v>
      </c>
      <c r="F48">
        <v>0.30199999999999999</v>
      </c>
    </row>
    <row r="49" spans="2:6" x14ac:dyDescent="0.25">
      <c r="B49" s="3">
        <f t="shared" si="6"/>
        <v>13</v>
      </c>
      <c r="C49" s="3" t="s">
        <v>0</v>
      </c>
      <c r="D49" s="3" t="s">
        <v>1</v>
      </c>
      <c r="E49" s="3" t="s">
        <v>2</v>
      </c>
      <c r="F49">
        <v>0.40600000000000003</v>
      </c>
    </row>
    <row r="50" spans="2:6" x14ac:dyDescent="0.25">
      <c r="B50" s="3">
        <f t="shared" si="6"/>
        <v>14</v>
      </c>
      <c r="C50" s="3" t="s">
        <v>0</v>
      </c>
      <c r="D50" s="3" t="s">
        <v>2</v>
      </c>
      <c r="E50" s="3" t="s">
        <v>1</v>
      </c>
      <c r="F50">
        <v>0.215</v>
      </c>
    </row>
    <row r="51" spans="2:6" x14ac:dyDescent="0.25">
      <c r="B51" s="3">
        <f t="shared" si="6"/>
        <v>15</v>
      </c>
      <c r="C51" s="3" t="s">
        <v>1</v>
      </c>
      <c r="D51" s="3" t="s">
        <v>0</v>
      </c>
      <c r="E51" s="3" t="s">
        <v>2</v>
      </c>
      <c r="F51">
        <v>0.59399999999999997</v>
      </c>
    </row>
    <row r="52" spans="2:6" x14ac:dyDescent="0.25">
      <c r="B52" s="3">
        <f t="shared" si="6"/>
        <v>16</v>
      </c>
      <c r="C52" s="3" t="s">
        <v>1</v>
      </c>
      <c r="D52" s="3" t="s">
        <v>2</v>
      </c>
      <c r="E52" s="3" t="s">
        <v>0</v>
      </c>
      <c r="F52">
        <v>0.75</v>
      </c>
    </row>
    <row r="53" spans="2:6" x14ac:dyDescent="0.25">
      <c r="B53" s="3">
        <f t="shared" si="6"/>
        <v>17</v>
      </c>
      <c r="C53" s="3" t="s">
        <v>2</v>
      </c>
      <c r="D53" s="3" t="s">
        <v>0</v>
      </c>
      <c r="E53" s="3" t="s">
        <v>1</v>
      </c>
      <c r="F53">
        <v>0.625</v>
      </c>
    </row>
    <row r="54" spans="2:6" x14ac:dyDescent="0.25">
      <c r="B54" s="3">
        <f t="shared" si="6"/>
        <v>18</v>
      </c>
      <c r="C54" s="3" t="s">
        <v>2</v>
      </c>
      <c r="D54" s="3" t="s">
        <v>1</v>
      </c>
      <c r="E54" s="3" t="s">
        <v>0</v>
      </c>
      <c r="F54">
        <v>0.38</v>
      </c>
    </row>
    <row r="55" spans="2:6" x14ac:dyDescent="0.25">
      <c r="F55">
        <f>AVERAGE(F37:F54)</f>
        <v>0.46750000000000003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3C0724-0BF3-4643-A462-48B91140A2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Galli (U2260777)</dc:creator>
  <cp:lastModifiedBy>Liam Galli (U2260777)</cp:lastModifiedBy>
  <dcterms:created xsi:type="dcterms:W3CDTF">2025-03-24T10:24:24Z</dcterms:created>
  <dcterms:modified xsi:type="dcterms:W3CDTF">2025-04-23T00:28:06Z</dcterms:modified>
</cp:coreProperties>
</file>